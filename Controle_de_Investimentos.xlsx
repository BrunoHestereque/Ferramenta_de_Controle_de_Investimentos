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B:\BRUNO_HESTEREQUE_SILVA\Profissional\Cursos_Profissionais\Santander_Excel_com_IA_e_Claude\2_Tabelas_e_Análise_de_Dados\Ferramenta_de_Controle_de_Investimentos\"/>
    </mc:Choice>
  </mc:AlternateContent>
  <xr:revisionPtr revIDLastSave="0" documentId="13_ncr:1_{57D3C733-7E31-4C86-81F9-138E66472A78}" xr6:coauthVersionLast="47" xr6:coauthVersionMax="47" xr10:uidLastSave="{00000000-0000-0000-0000-000000000000}"/>
  <bookViews>
    <workbookView xWindow="-120" yWindow="-120" windowWidth="29040" windowHeight="15840" xr2:uid="{F6C2B925-E44A-4BE7-95B2-7BC452730629}"/>
  </bookViews>
  <sheets>
    <sheet name="Simulador" sheetId="1" r:id="rId1"/>
    <sheet name="Configura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2" l="1"/>
  <c r="M17" i="2"/>
  <c r="M18" i="2"/>
  <c r="M19" i="2"/>
  <c r="M20" i="2"/>
  <c r="M21" i="2"/>
  <c r="M22" i="2"/>
  <c r="M23" i="2"/>
  <c r="M24" i="2"/>
  <c r="M25" i="2"/>
  <c r="M26" i="2"/>
  <c r="M27" i="2"/>
  <c r="M11" i="2"/>
  <c r="M12" i="2"/>
  <c r="M13" i="2"/>
  <c r="M14" i="2"/>
  <c r="M15" i="2"/>
  <c r="M10" i="2"/>
  <c r="C32" i="1"/>
  <c r="C31" i="1"/>
  <c r="C12" i="2"/>
  <c r="C23" i="1"/>
  <c r="D23" i="1" s="1"/>
  <c r="C24" i="1"/>
  <c r="D24" i="1" s="1"/>
  <c r="C25" i="1"/>
  <c r="D25" i="1" s="1"/>
  <c r="C26" i="1"/>
  <c r="D26" i="1" s="1"/>
  <c r="C22" i="1"/>
  <c r="D22" i="1" s="1"/>
  <c r="C15" i="1"/>
  <c r="C16" i="1" s="1"/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/>
  <c r="D41" i="1" l="1"/>
</calcChain>
</file>

<file path=xl/sharedStrings.xml><?xml version="1.0" encoding="utf-8"?>
<sst xmlns="http://schemas.openxmlformats.org/spreadsheetml/2006/main" count="77" uniqueCount="42">
  <si>
    <t>Patrimônio acumulado?</t>
  </si>
  <si>
    <t>Dividendos mensais?</t>
  </si>
  <si>
    <t>Investimento Mensal</t>
  </si>
  <si>
    <t>* Preencha os campos abaixo para realizar as simulações financeiras</t>
  </si>
  <si>
    <t>Quanto você deseja investir por mês?</t>
  </si>
  <si>
    <t>Por quantos anos deseja investir?</t>
  </si>
  <si>
    <t>Qual a Taxa de rendimento mensal?</t>
  </si>
  <si>
    <t>Patrimônio Acumulado</t>
  </si>
  <si>
    <t>Cenários</t>
  </si>
  <si>
    <t>02 Anos</t>
  </si>
  <si>
    <t>05 Anos</t>
  </si>
  <si>
    <t>10 Anos</t>
  </si>
  <si>
    <t>20 Anos</t>
  </si>
  <si>
    <t>30 Anos</t>
  </si>
  <si>
    <t>Períodos</t>
  </si>
  <si>
    <t>Patrimônico Acumulado</t>
  </si>
  <si>
    <t>Dividendos</t>
  </si>
  <si>
    <t>* Simulação de cenários com base nos dados informados</t>
  </si>
  <si>
    <t>Configurações</t>
  </si>
  <si>
    <t>Salário Mensal</t>
  </si>
  <si>
    <t>Redimento da Carteira</t>
  </si>
  <si>
    <t>Sugestões de Investimento</t>
  </si>
  <si>
    <t>Percentual Destinado a Investimento</t>
  </si>
  <si>
    <t>Perfil de Investidor</t>
  </si>
  <si>
    <t>Moderado</t>
  </si>
  <si>
    <t>Sugestão de Carteira</t>
  </si>
  <si>
    <t>Perfil do Investidor</t>
  </si>
  <si>
    <t>Valor do Investimento Mensal</t>
  </si>
  <si>
    <t>Tipos de FII</t>
  </si>
  <si>
    <t>Sugestão de Percentual</t>
  </si>
  <si>
    <t>Valores</t>
  </si>
  <si>
    <t>Papel</t>
  </si>
  <si>
    <t>Tijolo</t>
  </si>
  <si>
    <t>Híbridos</t>
  </si>
  <si>
    <t>FOF's</t>
  </si>
  <si>
    <t>Desenvolvimento</t>
  </si>
  <si>
    <t>Hotelarias</t>
  </si>
  <si>
    <t>Perfil</t>
  </si>
  <si>
    <t>%</t>
  </si>
  <si>
    <t>Chave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</si>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</sst>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i/>
      <sz val="8"/>
      <color theme="2" tint="-0.499984740745262"/>
      <name val="Segoe UI"/>
      <family val="2"/>
    </font>
    <font>
      <b/>
      <sz val="10"/>
      <color theme="0"/>
      <name val="Segoe UI"/>
      <family val="2"/>
    </font>
    <font>
      <sz val="10"/>
      <color theme="2" tint="-0.89999084444715716"/>
      <name val="Segoe UI"/>
      <family val="2"/>
    </font>
    <font>
      <b/>
      <sz val="10"/>
      <color theme="2" tint="-0.89999084444715716"/>
      <name val="Segoe UI"/>
      <family val="2"/>
    </font>
    <font>
      <b/>
      <sz val="10"/>
      <color theme="2" tint="-0.89999084444715716"/>
      <name val="Segoe UI"/>
      <family val="2"/>
      <scheme val="minor"/>
    </font>
    <font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sz val="10"/>
      <color theme="2" tint="-0.89999084444715716"/>
      <name val="Segoe UI"/>
      <family val="2"/>
      <scheme val="minor"/>
    </font>
    <font>
      <i/>
      <sz val="10"/>
      <color theme="2" tint="-0.89999084444715716"/>
      <name val="Segoe UI"/>
      <family val="2"/>
      <scheme val="minor"/>
    </font>
    <font>
      <u/>
      <sz val="11"/>
      <color theme="1"/>
      <name val="Segoe UI"/>
      <family val="2"/>
      <scheme val="minor"/>
    </font>
    <font>
      <b/>
      <sz val="9"/>
      <color theme="2" tint="-0.89999084444715716"/>
      <name val="Segoe UI"/>
      <family val="2"/>
      <scheme val="minor"/>
    </font>
    <font>
      <b/>
      <sz val="9"/>
      <color theme="0"/>
      <name val="Segoe UI"/>
      <family val="2"/>
      <scheme val="minor"/>
    </font>
    <font>
      <b/>
      <sz val="10"/>
      <color theme="1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1C3"/>
        <bgColor indexed="64"/>
      </patternFill>
    </fill>
    <fill>
      <patternFill patternType="solid">
        <fgColor rgb="FF3E838C"/>
        <bgColor indexed="64"/>
      </patternFill>
    </fill>
    <fill>
      <patternFill patternType="solid">
        <fgColor rgb="FF8EBDB6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3E838C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3E838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indent="2"/>
    </xf>
    <xf numFmtId="0" fontId="5" fillId="2" borderId="4" xfId="0" applyFont="1" applyFill="1" applyBorder="1" applyAlignment="1">
      <alignment horizontal="left" indent="1"/>
    </xf>
    <xf numFmtId="0" fontId="6" fillId="0" borderId="5" xfId="0" applyFont="1" applyBorder="1"/>
    <xf numFmtId="0" fontId="0" fillId="0" borderId="5" xfId="0" applyBorder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8" fontId="10" fillId="0" borderId="1" xfId="0" applyNumberFormat="1" applyFont="1" applyBorder="1" applyAlignment="1">
      <alignment horizont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left" indent="1"/>
    </xf>
    <xf numFmtId="0" fontId="3" fillId="3" borderId="3" xfId="0" applyFont="1" applyFill="1" applyBorder="1" applyAlignment="1"/>
    <xf numFmtId="0" fontId="3" fillId="3" borderId="6" xfId="0" applyFont="1" applyFill="1" applyBorder="1" applyAlignment="1"/>
    <xf numFmtId="164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8" fontId="5" fillId="2" borderId="4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indent="1"/>
    </xf>
    <xf numFmtId="0" fontId="6" fillId="2" borderId="1" xfId="0" applyFont="1" applyFill="1" applyBorder="1" applyAlignment="1">
      <alignment horizontal="left" indent="1"/>
    </xf>
    <xf numFmtId="10" fontId="9" fillId="0" borderId="1" xfId="0" applyNumberFormat="1" applyFont="1" applyBorder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left" indent="1"/>
    </xf>
    <xf numFmtId="0" fontId="9" fillId="0" borderId="1" xfId="0" applyFont="1" applyBorder="1" applyAlignment="1">
      <alignment horizontal="left" indent="2"/>
    </xf>
    <xf numFmtId="9" fontId="9" fillId="0" borderId="1" xfId="2" applyFont="1" applyBorder="1" applyAlignment="1">
      <alignment horizontal="center"/>
    </xf>
    <xf numFmtId="0" fontId="8" fillId="3" borderId="2" xfId="0" applyFont="1" applyFill="1" applyBorder="1" applyAlignment="1">
      <alignment horizontal="left" indent="1"/>
    </xf>
    <xf numFmtId="0" fontId="13" fillId="4" borderId="2" xfId="0" applyFont="1" applyFill="1" applyBorder="1" applyAlignment="1">
      <alignment horizontal="left" indent="2"/>
    </xf>
    <xf numFmtId="0" fontId="9" fillId="0" borderId="8" xfId="0" applyFont="1" applyBorder="1" applyAlignment="1">
      <alignment horizontal="left" indent="2"/>
    </xf>
    <xf numFmtId="0" fontId="9" fillId="0" borderId="9" xfId="0" applyFont="1" applyBorder="1" applyAlignment="1">
      <alignment horizontal="left" indent="2"/>
    </xf>
    <xf numFmtId="164" fontId="9" fillId="0" borderId="7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12" fillId="2" borderId="4" xfId="0" applyNumberFormat="1" applyFont="1" applyFill="1" applyBorder="1" applyAlignment="1">
      <alignment horizontal="center"/>
    </xf>
    <xf numFmtId="0" fontId="9" fillId="0" borderId="9" xfId="0" applyFont="1" applyBorder="1"/>
    <xf numFmtId="9" fontId="9" fillId="0" borderId="9" xfId="2" applyFont="1" applyBorder="1" applyAlignment="1">
      <alignment horizontal="center"/>
    </xf>
    <xf numFmtId="0" fontId="9" fillId="0" borderId="8" xfId="0" applyFont="1" applyBorder="1"/>
    <xf numFmtId="9" fontId="9" fillId="0" borderId="8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CE1C3"/>
      <color rgb="FF4A3A47"/>
      <color rgb="FFD7E8D5"/>
      <color rgb="FF063940"/>
      <color rgb="FF8EBDB6"/>
      <color rgb="FF3E83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/>
              <a:t>Evolução do Patrimônico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>
                  <a:lumMod val="10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Simulador!$C$21</c:f>
              <c:strCache>
                <c:ptCount val="1"/>
                <c:pt idx="0">
                  <c:v>Patrimônico Acumulado</c:v>
                </c:pt>
              </c:strCache>
            </c:strRef>
          </c:tx>
          <c:spPr>
            <a:ln w="28575" cap="rnd">
              <a:solidFill>
                <a:srgbClr val="3E83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838C"/>
              </a:solidFill>
              <a:ln w="9525">
                <a:solidFill>
                  <a:srgbClr val="3E838C"/>
                </a:solidFill>
              </a:ln>
              <a:effectLst/>
            </c:spPr>
          </c:marker>
          <c:dLbls>
            <c:spPr>
              <a:solidFill>
                <a:srgbClr val="ECE1C3"/>
              </a:solidFill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Simulador!$B$22:$B$26</c:f>
              <c:strCache>
                <c:ptCount val="5"/>
                <c:pt idx="0">
                  <c:v>02 Anos</c:v>
                </c:pt>
                <c:pt idx="1">
                  <c:v>05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Simulador!$C$22:$C$26</c:f>
              <c:numCache>
                <c:formatCode>"R$"#,##0.00_);[Red]\("R$"#,##0.00\)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8-41A3-B7BC-E4564597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198336"/>
        <c:axId val="1779951168"/>
      </c:lineChart>
      <c:catAx>
        <c:axId val="19041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779951168"/>
        <c:crosses val="autoZero"/>
        <c:auto val="1"/>
        <c:lblAlgn val="ctr"/>
        <c:lblOffset val="100"/>
        <c:noMultiLvlLbl val="0"/>
      </c:catAx>
      <c:valAx>
        <c:axId val="17799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90419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 b="1"/>
              <a:t>Distribuição dos Investimentos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bg2">
                  <a:lumMod val="10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Simulador!$D$34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rgbClr val="0639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1B-4324-90EB-F4C814B254FE}"/>
              </c:ext>
            </c:extLst>
          </c:dPt>
          <c:dPt>
            <c:idx val="1"/>
            <c:bubble3D val="0"/>
            <c:spPr>
              <a:solidFill>
                <a:srgbClr val="3E83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1B-4324-90EB-F4C814B254FE}"/>
              </c:ext>
            </c:extLst>
          </c:dPt>
          <c:dPt>
            <c:idx val="2"/>
            <c:bubble3D val="0"/>
            <c:spPr>
              <a:solidFill>
                <a:srgbClr val="ECE1C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1B-4324-90EB-F4C814B254FE}"/>
              </c:ext>
            </c:extLst>
          </c:dPt>
          <c:dPt>
            <c:idx val="3"/>
            <c:bubble3D val="0"/>
            <c:spPr>
              <a:solidFill>
                <a:srgbClr val="8EBD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1B-4324-90EB-F4C814B254FE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1B-4324-90EB-F4C814B254FE}"/>
              </c:ext>
            </c:extLst>
          </c:dPt>
          <c:dPt>
            <c:idx val="5"/>
            <c:bubble3D val="0"/>
            <c:spPr>
              <a:solidFill>
                <a:srgbClr val="D7E8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1B-4324-90EB-F4C814B25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Simulador!$D$35:$D$40</c:f>
              <c:numCache>
                <c:formatCode>"R$"\ 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40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B-4324-90EB-F4C814B25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2">
                  <a:lumMod val="10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2">
              <a:lumMod val="10000"/>
            </a:schemeClr>
          </a:solidFill>
          <a:latin typeface="+mj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0</xdr:rowOff>
    </xdr:from>
    <xdr:to>
      <xdr:col>16</xdr:col>
      <xdr:colOff>285750</xdr:colOff>
      <xdr:row>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1A849DA-722C-F135-AF6C-82EAD1681702}"/>
            </a:ext>
          </a:extLst>
        </xdr:cNvPr>
        <xdr:cNvSpPr/>
      </xdr:nvSpPr>
      <xdr:spPr>
        <a:xfrm>
          <a:off x="600075" y="190500"/>
          <a:ext cx="13649325" cy="571500"/>
        </a:xfrm>
        <a:prstGeom prst="rect">
          <a:avLst/>
        </a:prstGeom>
        <a:solidFill>
          <a:srgbClr val="06394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742950</xdr:colOff>
      <xdr:row>1</xdr:row>
      <xdr:rowOff>0</xdr:rowOff>
    </xdr:from>
    <xdr:to>
      <xdr:col>5</xdr:col>
      <xdr:colOff>257175</xdr:colOff>
      <xdr:row>4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6476513-4751-24AD-8FC3-C3F5D64FB20C}"/>
            </a:ext>
          </a:extLst>
        </xdr:cNvPr>
        <xdr:cNvSpPr txBox="1"/>
      </xdr:nvSpPr>
      <xdr:spPr>
        <a:xfrm>
          <a:off x="1352550" y="190500"/>
          <a:ext cx="616267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Simulador de Investimentos</a:t>
          </a:r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Imobiliários</a:t>
          </a:r>
          <a:endParaRPr lang="pt-BR" sz="1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123825</xdr:colOff>
      <xdr:row>1</xdr:row>
      <xdr:rowOff>71438</xdr:rowOff>
    </xdr:from>
    <xdr:to>
      <xdr:col>1</xdr:col>
      <xdr:colOff>552450</xdr:colOff>
      <xdr:row>3</xdr:row>
      <xdr:rowOff>80963</xdr:rowOff>
    </xdr:to>
    <xdr:pic>
      <xdr:nvPicPr>
        <xdr:cNvPr id="5" name="Gráfico 4" descr="Início com preenchimento sólido">
          <a:extLst>
            <a:ext uri="{FF2B5EF4-FFF2-40B4-BE49-F238E27FC236}">
              <a16:creationId xmlns:a16="http://schemas.microsoft.com/office/drawing/2014/main" id="{EDA3AAD8-DA66-808C-0E6E-6367B0126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261938"/>
          <a:ext cx="428625" cy="428625"/>
        </a:xfrm>
        <a:prstGeom prst="rect">
          <a:avLst/>
        </a:prstGeom>
      </xdr:spPr>
    </xdr:pic>
    <xdr:clientData/>
  </xdr:twoCellAnchor>
  <xdr:twoCellAnchor>
    <xdr:from>
      <xdr:col>4</xdr:col>
      <xdr:colOff>585787</xdr:colOff>
      <xdr:row>4</xdr:row>
      <xdr:rowOff>104775</xdr:rowOff>
    </xdr:from>
    <xdr:to>
      <xdr:col>16</xdr:col>
      <xdr:colOff>28575</xdr:colOff>
      <xdr:row>26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D89EAB-B063-943A-7B69-3955F2661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9524</xdr:colOff>
      <xdr:row>29</xdr:row>
      <xdr:rowOff>38100</xdr:rowOff>
    </xdr:from>
    <xdr:to>
      <xdr:col>16</xdr:col>
      <xdr:colOff>38099</xdr:colOff>
      <xdr:row>43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1AA1B54-781B-AED6-2BA4-58E2765E2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0</xdr:rowOff>
    </xdr:from>
    <xdr:to>
      <xdr:col>21</xdr:col>
      <xdr:colOff>190500</xdr:colOff>
      <xdr:row>4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7A59AC7-64F5-4FCE-B4E7-DED865F5AEE6}"/>
            </a:ext>
          </a:extLst>
        </xdr:cNvPr>
        <xdr:cNvSpPr/>
      </xdr:nvSpPr>
      <xdr:spPr>
        <a:xfrm>
          <a:off x="180975" y="209550"/>
          <a:ext cx="15392400" cy="628650"/>
        </a:xfrm>
        <a:prstGeom prst="rect">
          <a:avLst/>
        </a:prstGeom>
        <a:solidFill>
          <a:srgbClr val="06394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723900</xdr:colOff>
      <xdr:row>1</xdr:row>
      <xdr:rowOff>0</xdr:rowOff>
    </xdr:from>
    <xdr:to>
      <xdr:col>9</xdr:col>
      <xdr:colOff>161925</xdr:colOff>
      <xdr:row>4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D57682B-697E-4872-A6F9-30245283F1B2}"/>
            </a:ext>
          </a:extLst>
        </xdr:cNvPr>
        <xdr:cNvSpPr txBox="1"/>
      </xdr:nvSpPr>
      <xdr:spPr>
        <a:xfrm>
          <a:off x="923925" y="209550"/>
          <a:ext cx="7077075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Configurações do Simulador</a:t>
          </a:r>
        </a:p>
      </xdr:txBody>
    </xdr:sp>
    <xdr:clientData/>
  </xdr:twoCellAnchor>
  <xdr:twoCellAnchor editAs="oneCell">
    <xdr:from>
      <xdr:col>1</xdr:col>
      <xdr:colOff>104775</xdr:colOff>
      <xdr:row>1</xdr:row>
      <xdr:rowOff>71438</xdr:rowOff>
    </xdr:from>
    <xdr:to>
      <xdr:col>1</xdr:col>
      <xdr:colOff>533400</xdr:colOff>
      <xdr:row>3</xdr:row>
      <xdr:rowOff>80963</xdr:rowOff>
    </xdr:to>
    <xdr:pic>
      <xdr:nvPicPr>
        <xdr:cNvPr id="8" name="Gráfico 7" descr="Engrenagem única com preenchimento sólido">
          <a:extLst>
            <a:ext uri="{FF2B5EF4-FFF2-40B4-BE49-F238E27FC236}">
              <a16:creationId xmlns:a16="http://schemas.microsoft.com/office/drawing/2014/main" id="{6590793C-EE24-4604-ABCA-A12669A7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304800" y="280988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ersonalizada 1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57D0-30FD-4965-AEBA-FEA344D3C969}">
  <dimension ref="B6:O41"/>
  <sheetViews>
    <sheetView showGridLines="0" showRowColHeaders="0" tabSelected="1" workbookViewId="0">
      <selection activeCell="D36" sqref="D3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6.5" x14ac:dyDescent="0.3"/>
  <cols>
    <col min="1" max="1" width="2.375" customWidth="1"/>
    <col min="2" max="2" width="34" customWidth="1"/>
    <col min="3" max="3" width="40.625" customWidth="1"/>
    <col min="4" max="4" width="15.625" customWidth="1"/>
  </cols>
  <sheetData>
    <row r="6" spans="2:4" ht="2.1" customHeight="1" x14ac:dyDescent="0.3"/>
    <row r="7" spans="2:4" ht="17.25" thickBot="1" x14ac:dyDescent="0.35">
      <c r="B7" s="4" t="s">
        <v>7</v>
      </c>
      <c r="C7" s="5"/>
      <c r="D7" s="5"/>
    </row>
    <row r="8" spans="2:4" ht="2.1" customHeight="1" x14ac:dyDescent="0.3"/>
    <row r="9" spans="2:4" x14ac:dyDescent="0.3">
      <c r="B9" s="1" t="s">
        <v>3</v>
      </c>
      <c r="C9" s="1"/>
    </row>
    <row r="10" spans="2:4" x14ac:dyDescent="0.3">
      <c r="B10" s="10" t="s">
        <v>2</v>
      </c>
      <c r="C10" s="12"/>
      <c r="D10" s="11"/>
    </row>
    <row r="11" spans="2:4" x14ac:dyDescent="0.3">
      <c r="B11" s="2" t="s">
        <v>4</v>
      </c>
      <c r="C11" s="13">
        <v>200</v>
      </c>
      <c r="D11" s="13"/>
    </row>
    <row r="12" spans="2:4" x14ac:dyDescent="0.3">
      <c r="B12" s="2" t="s">
        <v>5</v>
      </c>
      <c r="C12" s="14">
        <v>5</v>
      </c>
      <c r="D12" s="14"/>
    </row>
    <row r="13" spans="2:4" x14ac:dyDescent="0.3">
      <c r="B13" s="2" t="s">
        <v>6</v>
      </c>
      <c r="C13" s="15">
        <v>1.0789999999999999E-2</v>
      </c>
      <c r="D13" s="15"/>
    </row>
    <row r="14" spans="2:4" ht="6.95" customHeight="1" x14ac:dyDescent="0.3"/>
    <row r="15" spans="2:4" x14ac:dyDescent="0.3">
      <c r="B15" s="3" t="s">
        <v>0</v>
      </c>
      <c r="C15" s="16">
        <f>FV(C13,C12*12,C11*-1)</f>
        <v>16755.382799697527</v>
      </c>
      <c r="D15" s="16"/>
    </row>
    <row r="16" spans="2:4" x14ac:dyDescent="0.3">
      <c r="B16" s="3" t="s">
        <v>1</v>
      </c>
      <c r="C16" s="16">
        <f>C15*Configurações!$C$10</f>
        <v>100.53229679818516</v>
      </c>
      <c r="D16" s="16"/>
    </row>
    <row r="19" spans="2:15" ht="17.25" thickBot="1" x14ac:dyDescent="0.35">
      <c r="B19" s="4" t="s">
        <v>8</v>
      </c>
      <c r="C19" s="4"/>
      <c r="D19" s="4"/>
    </row>
    <row r="20" spans="2:15" x14ac:dyDescent="0.3">
      <c r="B20" s="1" t="s">
        <v>17</v>
      </c>
      <c r="C20" s="1"/>
    </row>
    <row r="21" spans="2:15" x14ac:dyDescent="0.3">
      <c r="B21" s="7" t="s">
        <v>14</v>
      </c>
      <c r="C21" s="7" t="s">
        <v>15</v>
      </c>
      <c r="D21" s="7" t="s">
        <v>16</v>
      </c>
    </row>
    <row r="22" spans="2:15" x14ac:dyDescent="0.3">
      <c r="B22" s="17" t="s">
        <v>9</v>
      </c>
      <c r="C22" s="8">
        <f>FV($C$13,(LEFT(B22,3)*12),$C$11*-1)</f>
        <v>5445.5254595290435</v>
      </c>
      <c r="D22" s="8">
        <f>C22*Configurações!$C$10</f>
        <v>32.673152757174265</v>
      </c>
    </row>
    <row r="23" spans="2:15" x14ac:dyDescent="0.3">
      <c r="B23" s="17" t="s">
        <v>10</v>
      </c>
      <c r="C23" s="8">
        <f t="shared" ref="C23:C26" si="0">FV($C$13,(LEFT(B23,3)*12),$C$11*-1)</f>
        <v>16755.382799697527</v>
      </c>
      <c r="D23" s="8">
        <f>C23*Configurações!$C$10</f>
        <v>100.53229679818516</v>
      </c>
    </row>
    <row r="24" spans="2:15" x14ac:dyDescent="0.3">
      <c r="B24" s="17" t="s">
        <v>11</v>
      </c>
      <c r="C24" s="8">
        <f t="shared" si="0"/>
        <v>48656.842506034438</v>
      </c>
      <c r="D24" s="8">
        <f>C24*Configurações!$C$10</f>
        <v>291.94105503620665</v>
      </c>
    </row>
    <row r="25" spans="2:15" x14ac:dyDescent="0.3">
      <c r="B25" s="17" t="s">
        <v>12</v>
      </c>
      <c r="C25" s="8">
        <f t="shared" si="0"/>
        <v>225039.68001941612</v>
      </c>
      <c r="D25" s="8">
        <f>C25*Configurações!$C$10</f>
        <v>1350.2380801164968</v>
      </c>
    </row>
    <row r="26" spans="2:15" x14ac:dyDescent="0.3">
      <c r="B26" s="17" t="s">
        <v>13</v>
      </c>
      <c r="C26" s="8">
        <f t="shared" si="0"/>
        <v>864433.93100094295</v>
      </c>
      <c r="D26" s="8">
        <f>C26*Configurações!$C$10</f>
        <v>5186.6035860056581</v>
      </c>
    </row>
    <row r="27" spans="2:15" x14ac:dyDescent="0.3">
      <c r="B27" s="6"/>
      <c r="C27" s="6"/>
    </row>
    <row r="29" spans="2:15" ht="17.25" thickBot="1" x14ac:dyDescent="0.35">
      <c r="B29" s="4" t="s">
        <v>25</v>
      </c>
      <c r="C29" s="4"/>
      <c r="D29" s="4"/>
    </row>
    <row r="30" spans="2:15" x14ac:dyDescent="0.3">
      <c r="O30" s="27"/>
    </row>
    <row r="31" spans="2:15" x14ac:dyDescent="0.3">
      <c r="B31" s="32" t="s">
        <v>26</v>
      </c>
      <c r="C31" s="38" t="str">
        <f>Configurações!C14</f>
        <v>Agressivo</v>
      </c>
      <c r="D31" s="38"/>
    </row>
    <row r="32" spans="2:15" x14ac:dyDescent="0.3">
      <c r="B32" s="33" t="s">
        <v>27</v>
      </c>
      <c r="C32" s="39">
        <f>$C$11</f>
        <v>200</v>
      </c>
      <c r="D32" s="39"/>
    </row>
    <row r="33" spans="2:4" ht="5.0999999999999996" customHeight="1" x14ac:dyDescent="0.3">
      <c r="B33" s="18"/>
      <c r="C33" s="19"/>
      <c r="D33" s="18"/>
    </row>
    <row r="34" spans="2:4" x14ac:dyDescent="0.3">
      <c r="B34" s="29" t="s">
        <v>28</v>
      </c>
      <c r="C34" s="7" t="s">
        <v>29</v>
      </c>
      <c r="D34" s="7" t="s">
        <v>30</v>
      </c>
    </row>
    <row r="35" spans="2:4" x14ac:dyDescent="0.3">
      <c r="B35" s="30" t="s">
        <v>31</v>
      </c>
      <c r="C35" s="31">
        <f>VLOOKUP($C$31&amp;"-"&amp;B35,Configurações!$M$9:$P$27,4,FALSE)</f>
        <v>0.5</v>
      </c>
      <c r="D35" s="21">
        <f>C35*$C$32</f>
        <v>100</v>
      </c>
    </row>
    <row r="36" spans="2:4" x14ac:dyDescent="0.3">
      <c r="B36" s="30" t="s">
        <v>32</v>
      </c>
      <c r="C36" s="31">
        <f>VLOOKUP($C$31&amp;"-"&amp;B36,Configurações!$M$9:$P$27,4,FALSE)</f>
        <v>0.1</v>
      </c>
      <c r="D36" s="21">
        <f t="shared" ref="D36:D40" si="1">C36*$C$32</f>
        <v>20</v>
      </c>
    </row>
    <row r="37" spans="2:4" x14ac:dyDescent="0.3">
      <c r="B37" s="30" t="s">
        <v>33</v>
      </c>
      <c r="C37" s="31">
        <f>VLOOKUP($C$31&amp;"-"&amp;B37,Configurações!$M$9:$P$27,4,FALSE)</f>
        <v>0.05</v>
      </c>
      <c r="D37" s="21">
        <f t="shared" si="1"/>
        <v>10</v>
      </c>
    </row>
    <row r="38" spans="2:4" x14ac:dyDescent="0.3">
      <c r="B38" s="30" t="s">
        <v>34</v>
      </c>
      <c r="C38" s="31">
        <f>VLOOKUP($C$31&amp;"-"&amp;B38,Configurações!$M$9:$P$27,4,FALSE)</f>
        <v>0.05</v>
      </c>
      <c r="D38" s="21">
        <f t="shared" si="1"/>
        <v>10</v>
      </c>
    </row>
    <row r="39" spans="2:4" x14ac:dyDescent="0.3">
      <c r="B39" s="30" t="s">
        <v>35</v>
      </c>
      <c r="C39" s="31">
        <f>VLOOKUP($C$31&amp;"-"&amp;B39,Configurações!$M$9:$P$27,4,FALSE)</f>
        <v>0.2</v>
      </c>
      <c r="D39" s="21">
        <f t="shared" si="1"/>
        <v>40</v>
      </c>
    </row>
    <row r="40" spans="2:4" x14ac:dyDescent="0.3">
      <c r="B40" s="30" t="s">
        <v>36</v>
      </c>
      <c r="C40" s="31">
        <f>VLOOKUP($C$31&amp;"-"&amp;B40,Configurações!$M$9:$P$27,4,FALSE)</f>
        <v>0.1</v>
      </c>
      <c r="D40" s="36">
        <f t="shared" si="1"/>
        <v>20</v>
      </c>
    </row>
    <row r="41" spans="2:4" x14ac:dyDescent="0.3">
      <c r="D41" s="37">
        <f>SUM(D35:D40)</f>
        <v>200</v>
      </c>
    </row>
  </sheetData>
  <mergeCells count="10">
    <mergeCell ref="C32:D32"/>
    <mergeCell ref="C13:D13"/>
    <mergeCell ref="C15:D15"/>
    <mergeCell ref="C16:D16"/>
    <mergeCell ref="B20:C20"/>
    <mergeCell ref="C31:D31"/>
    <mergeCell ref="B9:C9"/>
    <mergeCell ref="C10:D10"/>
    <mergeCell ref="C11:D11"/>
    <mergeCell ref="C12:D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4EFC-9E46-4285-A2CF-5D140C4A3612}">
  <dimension ref="B7:P27"/>
  <sheetViews>
    <sheetView showGridLines="0" workbookViewId="0">
      <selection activeCell="M14" sqref="M14"/>
    </sheetView>
  </sheetViews>
  <sheetFormatPr defaultRowHeight="16.5" x14ac:dyDescent="0.3"/>
  <cols>
    <col min="1" max="1" width="2.625" customWidth="1"/>
    <col min="2" max="2" width="30.625" customWidth="1"/>
    <col min="3" max="3" width="15.625" customWidth="1"/>
    <col min="13" max="13" width="23.625" bestFit="1" customWidth="1"/>
    <col min="14" max="15" width="20.625" customWidth="1"/>
    <col min="16" max="16" width="18.125" customWidth="1"/>
    <col min="17" max="18" width="30.625" customWidth="1"/>
  </cols>
  <sheetData>
    <row r="7" spans="2:16" ht="17.25" thickBot="1" x14ac:dyDescent="0.35">
      <c r="B7" s="4" t="s">
        <v>18</v>
      </c>
      <c r="C7" s="4"/>
    </row>
    <row r="9" spans="2:16" x14ac:dyDescent="0.3">
      <c r="B9" s="24" t="s">
        <v>19</v>
      </c>
      <c r="C9" s="21">
        <v>2000</v>
      </c>
      <c r="M9" s="9" t="s">
        <v>39</v>
      </c>
      <c r="N9" s="9" t="s">
        <v>37</v>
      </c>
      <c r="O9" s="29" t="s">
        <v>28</v>
      </c>
      <c r="P9" s="29" t="s">
        <v>38</v>
      </c>
    </row>
    <row r="10" spans="2:16" x14ac:dyDescent="0.3">
      <c r="B10" s="24" t="s">
        <v>20</v>
      </c>
      <c r="C10" s="26">
        <v>6.0000000000000001E-3</v>
      </c>
      <c r="M10" s="20" t="str">
        <f>N10&amp;"-"&amp;O10</f>
        <v>Conservador-Papel</v>
      </c>
      <c r="N10" s="20" t="s">
        <v>40</v>
      </c>
      <c r="O10" s="30" t="s">
        <v>31</v>
      </c>
      <c r="P10" s="31">
        <v>0.3</v>
      </c>
    </row>
    <row r="11" spans="2:16" x14ac:dyDescent="0.3">
      <c r="B11" s="24" t="s">
        <v>22</v>
      </c>
      <c r="C11" s="22">
        <v>0.3</v>
      </c>
      <c r="M11" s="20" t="str">
        <f t="shared" ref="M11:M27" si="0">N11&amp;"-"&amp;O11</f>
        <v>Conservador-Tijolo</v>
      </c>
      <c r="N11" s="20" t="s">
        <v>40</v>
      </c>
      <c r="O11" s="30" t="s">
        <v>32</v>
      </c>
      <c r="P11" s="31">
        <v>0.5</v>
      </c>
    </row>
    <row r="12" spans="2:16" x14ac:dyDescent="0.3">
      <c r="B12" s="25" t="s">
        <v>21</v>
      </c>
      <c r="C12" s="23">
        <f>C9*C11</f>
        <v>600</v>
      </c>
      <c r="M12" s="20" t="str">
        <f t="shared" si="0"/>
        <v>Conservador-Híbridos</v>
      </c>
      <c r="N12" s="20" t="s">
        <v>40</v>
      </c>
      <c r="O12" s="30" t="s">
        <v>33</v>
      </c>
      <c r="P12" s="31">
        <v>0.1</v>
      </c>
    </row>
    <row r="13" spans="2:16" x14ac:dyDescent="0.3">
      <c r="M13" s="20" t="str">
        <f t="shared" si="0"/>
        <v>Conservador-FOF's</v>
      </c>
      <c r="N13" s="20" t="s">
        <v>40</v>
      </c>
      <c r="O13" s="30" t="s">
        <v>34</v>
      </c>
      <c r="P13" s="31">
        <v>0.1</v>
      </c>
    </row>
    <row r="14" spans="2:16" x14ac:dyDescent="0.3">
      <c r="B14" s="29" t="s">
        <v>23</v>
      </c>
      <c r="C14" s="28" t="s">
        <v>41</v>
      </c>
      <c r="M14" s="20" t="str">
        <f t="shared" si="0"/>
        <v>Conservador-Desenvolvimento</v>
      </c>
      <c r="N14" s="20" t="s">
        <v>40</v>
      </c>
      <c r="O14" s="30" t="s">
        <v>35</v>
      </c>
      <c r="P14" s="31">
        <v>0</v>
      </c>
    </row>
    <row r="15" spans="2:16" ht="17.25" thickBot="1" x14ac:dyDescent="0.35">
      <c r="M15" s="40" t="str">
        <f t="shared" si="0"/>
        <v>Conservador-Hotelarias</v>
      </c>
      <c r="N15" s="40" t="s">
        <v>40</v>
      </c>
      <c r="O15" s="35" t="s">
        <v>36</v>
      </c>
      <c r="P15" s="41">
        <v>0</v>
      </c>
    </row>
    <row r="16" spans="2:16" x14ac:dyDescent="0.3">
      <c r="M16" s="42" t="str">
        <f t="shared" si="0"/>
        <v>Moderado-Papel</v>
      </c>
      <c r="N16" s="42" t="s">
        <v>24</v>
      </c>
      <c r="O16" s="34" t="s">
        <v>31</v>
      </c>
      <c r="P16" s="43">
        <v>0.32</v>
      </c>
    </row>
    <row r="17" spans="13:16" x14ac:dyDescent="0.3">
      <c r="M17" s="20" t="str">
        <f t="shared" si="0"/>
        <v>Moderado-Tijolo</v>
      </c>
      <c r="N17" s="20" t="s">
        <v>24</v>
      </c>
      <c r="O17" s="30" t="s">
        <v>32</v>
      </c>
      <c r="P17" s="31">
        <v>0.35</v>
      </c>
    </row>
    <row r="18" spans="13:16" x14ac:dyDescent="0.3">
      <c r="M18" s="20" t="str">
        <f t="shared" si="0"/>
        <v>Moderado-Híbridos</v>
      </c>
      <c r="N18" s="20" t="s">
        <v>24</v>
      </c>
      <c r="O18" s="30" t="s">
        <v>33</v>
      </c>
      <c r="P18" s="31">
        <v>0.08</v>
      </c>
    </row>
    <row r="19" spans="13:16" x14ac:dyDescent="0.3">
      <c r="M19" s="20" t="str">
        <f t="shared" si="0"/>
        <v>Moderado-FOF's</v>
      </c>
      <c r="N19" s="20" t="s">
        <v>24</v>
      </c>
      <c r="O19" s="30" t="s">
        <v>34</v>
      </c>
      <c r="P19" s="31">
        <v>0.05</v>
      </c>
    </row>
    <row r="20" spans="13:16" x14ac:dyDescent="0.3">
      <c r="M20" s="20" t="str">
        <f t="shared" si="0"/>
        <v>Moderado-Desenvolvimento</v>
      </c>
      <c r="N20" s="20" t="s">
        <v>24</v>
      </c>
      <c r="O20" s="30" t="s">
        <v>35</v>
      </c>
      <c r="P20" s="31">
        <v>0.1</v>
      </c>
    </row>
    <row r="21" spans="13:16" ht="17.25" thickBot="1" x14ac:dyDescent="0.35">
      <c r="M21" s="40" t="str">
        <f t="shared" si="0"/>
        <v>Moderado-Hotelarias</v>
      </c>
      <c r="N21" s="40" t="s">
        <v>24</v>
      </c>
      <c r="O21" s="35" t="s">
        <v>36</v>
      </c>
      <c r="P21" s="41">
        <v>0.1</v>
      </c>
    </row>
    <row r="22" spans="13:16" x14ac:dyDescent="0.3">
      <c r="M22" s="42" t="str">
        <f t="shared" si="0"/>
        <v>Agressivo-Papel</v>
      </c>
      <c r="N22" s="42" t="s">
        <v>41</v>
      </c>
      <c r="O22" s="34" t="s">
        <v>31</v>
      </c>
      <c r="P22" s="43">
        <v>0.5</v>
      </c>
    </row>
    <row r="23" spans="13:16" x14ac:dyDescent="0.3">
      <c r="M23" s="20" t="str">
        <f t="shared" si="0"/>
        <v>Agressivo-Tijolo</v>
      </c>
      <c r="N23" s="20" t="s">
        <v>41</v>
      </c>
      <c r="O23" s="30" t="s">
        <v>32</v>
      </c>
      <c r="P23" s="31">
        <v>0.1</v>
      </c>
    </row>
    <row r="24" spans="13:16" x14ac:dyDescent="0.3">
      <c r="M24" s="20" t="str">
        <f t="shared" si="0"/>
        <v>Agressivo-Híbridos</v>
      </c>
      <c r="N24" s="20" t="s">
        <v>41</v>
      </c>
      <c r="O24" s="30" t="s">
        <v>33</v>
      </c>
      <c r="P24" s="31">
        <v>0.05</v>
      </c>
    </row>
    <row r="25" spans="13:16" x14ac:dyDescent="0.3">
      <c r="M25" s="20" t="str">
        <f t="shared" si="0"/>
        <v>Agressivo-FOF's</v>
      </c>
      <c r="N25" s="20" t="s">
        <v>41</v>
      </c>
      <c r="O25" s="30" t="s">
        <v>34</v>
      </c>
      <c r="P25" s="31">
        <v>0.05</v>
      </c>
    </row>
    <row r="26" spans="13:16" x14ac:dyDescent="0.3">
      <c r="M26" s="20" t="str">
        <f t="shared" si="0"/>
        <v>Agressivo-Desenvolvimento</v>
      </c>
      <c r="N26" s="20" t="s">
        <v>41</v>
      </c>
      <c r="O26" s="30" t="s">
        <v>35</v>
      </c>
      <c r="P26" s="31">
        <v>0.2</v>
      </c>
    </row>
    <row r="27" spans="13:16" x14ac:dyDescent="0.3">
      <c r="M27" s="20" t="str">
        <f t="shared" si="0"/>
        <v>Agressivo-Hotelarias</v>
      </c>
      <c r="N27" s="20" t="s">
        <v>41</v>
      </c>
      <c r="O27" s="30" t="s">
        <v>36</v>
      </c>
      <c r="P27" s="31">
        <v>0.1</v>
      </c>
    </row>
  </sheetData>
  <dataValidations count="1">
    <dataValidation type="list" allowBlank="1" showInputMessage="1" showErrorMessage="1" sqref="C14" xr:uid="{A81AD764-B049-4A1B-BE72-2F4507F3FB56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Hestereque</dc:creator>
  <cp:lastModifiedBy>Bruno Hestereque</cp:lastModifiedBy>
  <dcterms:created xsi:type="dcterms:W3CDTF">2026-08-26T14:59:02Z</dcterms:created>
  <dcterms:modified xsi:type="dcterms:W3CDTF">2026-08-27T01:27:57Z</dcterms:modified>
</cp:coreProperties>
</file>